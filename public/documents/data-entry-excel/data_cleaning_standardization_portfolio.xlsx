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2c3ca1565debd7b/Documents/Rohan Sandesh/My projects/rohan-sandesh-portfolio/rohan-sandesh-portfolio/public/documents/data-entry-excel/"/>
    </mc:Choice>
  </mc:AlternateContent>
  <xr:revisionPtr revIDLastSave="0" documentId="8_{232417B6-ADC8-45FE-8408-DD67524702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Raw Data" sheetId="2" r:id="rId2"/>
    <sheet name="Cleaned Data" sheetId="3" r:id="rId3"/>
    <sheet name="Cleaning Log" sheetId="4" r:id="rId4"/>
  </sheets>
  <definedNames>
    <definedName name="_xlnm._FilterDatabase" localSheetId="2" hidden="1">'Cleaned Data'!$A$1:$J$23</definedName>
    <definedName name="_xlnm._FilterDatabase" localSheetId="3" hidden="1">'Cleaning Log'!$A$1:$E$9</definedName>
    <definedName name="_xlnm._FilterDatabase" localSheetId="1" hidden="1">'Raw Data'!$A$1:$G$23</definedName>
    <definedName name="_xlnm.Print_Area" localSheetId="0">Overview!$A$1:$H$25</definedName>
    <definedName name="_xlnm.Print_Titles" localSheetId="2">'Cleaned Data'!$1:$1</definedName>
    <definedName name="_xlnm.Print_Titles" localSheetId="3">'Cleaning Log'!$1:$1</definedName>
    <definedName name="_xlnm.Print_Titles" localSheetId="1">'Raw Data'!$1:$1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G6" i="1"/>
  <c r="E6" i="1"/>
  <c r="C6" i="1"/>
  <c r="A6" i="1"/>
</calcChain>
</file>

<file path=xl/sharedStrings.xml><?xml version="1.0" encoding="utf-8"?>
<sst xmlns="http://schemas.openxmlformats.org/spreadsheetml/2006/main" count="409" uniqueCount="201">
  <si>
    <t>DATA CLEANING &amp; STANDARDIZATION</t>
  </si>
  <si>
    <t>Portfolio demonstration • Synthetic customer records • Excel data quality workflow</t>
  </si>
  <si>
    <t>TOTAL RECORDS</t>
  </si>
  <si>
    <t>MISSING EMAILS</t>
  </si>
  <si>
    <t>INVALID EMAILS</t>
  </si>
  <si>
    <t>RECORDS NEEDING REVIEW</t>
  </si>
  <si>
    <t>WORKBOOK GUIDE</t>
  </si>
  <si>
    <t>Raw Data</t>
  </si>
  <si>
    <t>Original synthetic records containing intentional inconsistencies. Use this as the before state.</t>
  </si>
  <si>
    <t>Cleaned Data</t>
  </si>
  <si>
    <t>Standardized records plus basic email/phone checks and duplicate flags. Review flagged entries manually.</t>
  </si>
  <si>
    <t>Cleaning Log</t>
  </si>
  <si>
    <t>A concise record of each transformation, the rule used, and its purpose.</t>
  </si>
  <si>
    <t>DATA QUALITY SNAPSHOT</t>
  </si>
  <si>
    <t>Check</t>
  </si>
  <si>
    <t>Count</t>
  </si>
  <si>
    <t>Interpretation</t>
  </si>
  <si>
    <t>Missing email</t>
  </si>
  <si>
    <t>No email value supplied.</t>
  </si>
  <si>
    <t>Invalid email format</t>
  </si>
  <si>
    <t>Fails the workbook's basic email-pattern check.</t>
  </si>
  <si>
    <t>Phone needs review</t>
  </si>
  <si>
    <t>Not a 10-digit number after removing formatting.</t>
  </si>
  <si>
    <t>Potential duplicate</t>
  </si>
  <si>
    <t>Matching normalized fields; verify before removing.</t>
  </si>
  <si>
    <t>PORTFOLIO NOTE</t>
  </si>
  <si>
    <t>All records are fictional and created for this demonstration. Email checks validate format only; they do not confirm deliverability. Phone checks validate digit count only. Potential duplicates and flagged values require human review. No missing values have been guessed or silently replaced.</t>
  </si>
  <si>
    <t>Record ID</t>
  </si>
  <si>
    <t>Full Name</t>
  </si>
  <si>
    <t>Email</t>
  </si>
  <si>
    <t>Phone</t>
  </si>
  <si>
    <t>City</t>
  </si>
  <si>
    <t>Signup Date</t>
  </si>
  <si>
    <t>Status</t>
  </si>
  <si>
    <t>C-1001</t>
  </si>
  <si>
    <t>Aarav Menon</t>
  </si>
  <si>
    <t>aarav.menon@example.com</t>
  </si>
  <si>
    <t>9876543210</t>
  </si>
  <si>
    <t>Kochi</t>
  </si>
  <si>
    <t>Active</t>
  </si>
  <si>
    <t>C-1002</t>
  </si>
  <si>
    <t xml:space="preserve">  DIYA NAIR  </t>
  </si>
  <si>
    <t>diya.nair@example.com</t>
  </si>
  <si>
    <t>9123456780</t>
  </si>
  <si>
    <t>Thiruvananthapuram</t>
  </si>
  <si>
    <t>active</t>
  </si>
  <si>
    <t>C-1003</t>
  </si>
  <si>
    <t>Ishaan Thomas</t>
  </si>
  <si>
    <t>ISHAAN.THOMAS@EXAMPLE.COM</t>
  </si>
  <si>
    <t>9988776655</t>
  </si>
  <si>
    <t>KOZHIKODE</t>
  </si>
  <si>
    <t>Inactive</t>
  </si>
  <si>
    <t>C-1004</t>
  </si>
  <si>
    <t>Maya Joseph</t>
  </si>
  <si>
    <t xml:space="preserve"> maya.joseph@example.com </t>
  </si>
  <si>
    <t>9090909090</t>
  </si>
  <si>
    <t>Thrissur</t>
  </si>
  <si>
    <t>Pending</t>
  </si>
  <si>
    <t>C-1005</t>
  </si>
  <si>
    <t>Neha Varghese</t>
  </si>
  <si>
    <t>neha.varghese@example.com</t>
  </si>
  <si>
    <t>98989 89898</t>
  </si>
  <si>
    <t>Kottayam</t>
  </si>
  <si>
    <t>C-1006</t>
  </si>
  <si>
    <t xml:space="preserve">  ADITHYA PILLAI  </t>
  </si>
  <si>
    <t>adithya.pillai.example.com</t>
  </si>
  <si>
    <t>9000011111</t>
  </si>
  <si>
    <t>Alappuzha</t>
  </si>
  <si>
    <t>C-1007</t>
  </si>
  <si>
    <t>Sara Mathew</t>
  </si>
  <si>
    <t>SARA.MATHEW@EXAMPLE.COM</t>
  </si>
  <si>
    <t>9000022222</t>
  </si>
  <si>
    <t xml:space="preserve"> Kannur </t>
  </si>
  <si>
    <t>C-1008</t>
  </si>
  <si>
    <t>Joel George</t>
  </si>
  <si>
    <t xml:space="preserve"> joel.george@example.com </t>
  </si>
  <si>
    <t>9000033333</t>
  </si>
  <si>
    <t>Palakkad</t>
  </si>
  <si>
    <t>C-1009</t>
  </si>
  <si>
    <t>Ananya Das</t>
  </si>
  <si>
    <t>ananya.das@example.com</t>
  </si>
  <si>
    <t>90000 44444</t>
  </si>
  <si>
    <t>Pathanamthitta</t>
  </si>
  <si>
    <t>C-1010</t>
  </si>
  <si>
    <t xml:space="preserve">  NIKHIL RAJ  </t>
  </si>
  <si>
    <t>9000055555</t>
  </si>
  <si>
    <t>Malappuram</t>
  </si>
  <si>
    <t>C-1011</t>
  </si>
  <si>
    <t>Meera Paul</t>
  </si>
  <si>
    <t>meera.paul@example.com</t>
  </si>
  <si>
    <t>9000066666</t>
  </si>
  <si>
    <t>ERNAKULAM</t>
  </si>
  <si>
    <t>C-1012</t>
  </si>
  <si>
    <t>Arjun Kumar</t>
  </si>
  <si>
    <t>ARJUN.KUMAR@EXAMPLE.COM</t>
  </si>
  <si>
    <t>9000077777</t>
  </si>
  <si>
    <t>Kollam</t>
  </si>
  <si>
    <t>C-1013</t>
  </si>
  <si>
    <t>Fathima Rahman</t>
  </si>
  <si>
    <t xml:space="preserve"> fathima.rahman@example.com </t>
  </si>
  <si>
    <t>9000088888</t>
  </si>
  <si>
    <t>Wayanad</t>
  </si>
  <si>
    <t>C-1014</t>
  </si>
  <si>
    <t>Kevin Thomas</t>
  </si>
  <si>
    <t>kevin.thomas@example.com</t>
  </si>
  <si>
    <t>9000099999</t>
  </si>
  <si>
    <t xml:space="preserve"> Idukki </t>
  </si>
  <si>
    <t>C-1015</t>
  </si>
  <si>
    <t xml:space="preserve">  LAKSHMI S  </t>
  </si>
  <si>
    <t>lakshmi.s@example.com</t>
  </si>
  <si>
    <t>9000012345</t>
  </si>
  <si>
    <t>Kasaragod</t>
  </si>
  <si>
    <t>C-1016</t>
  </si>
  <si>
    <t>Riya Nambiar</t>
  </si>
  <si>
    <t>riya.nambiar@example.com</t>
  </si>
  <si>
    <t>9000065432</t>
  </si>
  <si>
    <t>inactive</t>
  </si>
  <si>
    <t>C-1017</t>
  </si>
  <si>
    <t>Vivek Babu</t>
  </si>
  <si>
    <t>vivek.babu@example.com</t>
  </si>
  <si>
    <t>90000 76543</t>
  </si>
  <si>
    <t>C-1018</t>
  </si>
  <si>
    <t>Amal Jose</t>
  </si>
  <si>
    <t>amal.jose@example.com</t>
  </si>
  <si>
    <t>9000087654</t>
  </si>
  <si>
    <t>THRISSUR</t>
  </si>
  <si>
    <t>C-1019</t>
  </si>
  <si>
    <t>Tara Krishnan</t>
  </si>
  <si>
    <t>tara.krishnan@example.com</t>
  </si>
  <si>
    <t>9000098765</t>
  </si>
  <si>
    <t xml:space="preserve"> Kozhikode </t>
  </si>
  <si>
    <t>C-1020</t>
  </si>
  <si>
    <t>Rahul Das</t>
  </si>
  <si>
    <t>rahul.das@example.com</t>
  </si>
  <si>
    <t>9000043210</t>
  </si>
  <si>
    <t>C-1021</t>
  </si>
  <si>
    <t>C-1022</t>
  </si>
  <si>
    <t xml:space="preserve">  Kiran Mohan </t>
  </si>
  <si>
    <t>KIRAN.MOHAN@example.com</t>
  </si>
  <si>
    <t>phone unavailable</t>
  </si>
  <si>
    <t xml:space="preserve">kochi </t>
  </si>
  <si>
    <t>ACTIVE</t>
  </si>
  <si>
    <t>Email Check</t>
  </si>
  <si>
    <t>Phone Check</t>
  </si>
  <si>
    <t>Duplicate Check</t>
  </si>
  <si>
    <t>Valid format</t>
  </si>
  <si>
    <t>Valid 10 digits</t>
  </si>
  <si>
    <t>Unique</t>
  </si>
  <si>
    <t>Diya Nair</t>
  </si>
  <si>
    <t>ishaan.thomas@example.com</t>
  </si>
  <si>
    <t>Kozhikode</t>
  </si>
  <si>
    <t>maya.joseph@example.com</t>
  </si>
  <si>
    <t>9898989898</t>
  </si>
  <si>
    <t>Adithya Pillai</t>
  </si>
  <si>
    <t>Invalid format</t>
  </si>
  <si>
    <t>sara.mathew@example.com</t>
  </si>
  <si>
    <t>Kannur</t>
  </si>
  <si>
    <t>joel.george@example.com</t>
  </si>
  <si>
    <t>9000044444</t>
  </si>
  <si>
    <t>Nikhil Raj</t>
  </si>
  <si>
    <t>Missing</t>
  </si>
  <si>
    <t>Ernakulam</t>
  </si>
  <si>
    <t>arjun.kumar@example.com</t>
  </si>
  <si>
    <t>fathima.rahman@example.com</t>
  </si>
  <si>
    <t>Idukki</t>
  </si>
  <si>
    <t>Lakshmi S</t>
  </si>
  <si>
    <t>9000076543</t>
  </si>
  <si>
    <t>Kiran Mohan</t>
  </si>
  <si>
    <t>kiran.mohan@example.com</t>
  </si>
  <si>
    <t>Needs review</t>
  </si>
  <si>
    <t>Step</t>
  </si>
  <si>
    <t>Field(s)</t>
  </si>
  <si>
    <t>Action</t>
  </si>
  <si>
    <t>Rule / rationale</t>
  </si>
  <si>
    <t>Outcome</t>
  </si>
  <si>
    <t>Trimmed and standardized capitalization</t>
  </si>
  <si>
    <t>Removed leading/trailing and repeated spaces; converted names to title case.</t>
  </si>
  <si>
    <t>Consistent name formatting</t>
  </si>
  <si>
    <t>Trimmed and converted to lowercase</t>
  </si>
  <si>
    <t>Removed surrounding spaces and normalized case. Basic format check applied afterward.</t>
  </si>
  <si>
    <t>Missing/invalid formats flagged for review</t>
  </si>
  <si>
    <t>Standardized digits</t>
  </si>
  <si>
    <t>Removed spaces and non-digit characters; retained only 10-digit values.</t>
  </si>
  <si>
    <t>Invalid values marked 'Needs review' rather than guessed</t>
  </si>
  <si>
    <t>Trimmed extra spaces and standardized capitalization.</t>
  </si>
  <si>
    <t>Consistent city formatting</t>
  </si>
  <si>
    <t>Standardized categories</t>
  </si>
  <si>
    <t>Mapped active/inactive/pending values to consistent title-case labels.</t>
  </si>
  <si>
    <t>Consistent status values</t>
  </si>
  <si>
    <t>Duplicate check</t>
  </si>
  <si>
    <t>Flagged potential duplicate records</t>
  </si>
  <si>
    <t>Compared normalized name, email, phone, city, signup date, and status; record ID excluded.</t>
  </si>
  <si>
    <t>Potential duplicates flagged for manual review</t>
  </si>
  <si>
    <t>Data validation</t>
  </si>
  <si>
    <t>Added email and phone checks</t>
  </si>
  <si>
    <t>Email check validates basic syntax only; phone check validates 10 digits only.</t>
  </si>
  <si>
    <t>Checks do not verify that contact details are real</t>
  </si>
  <si>
    <t>Data integrity</t>
  </si>
  <si>
    <t>Did not invent missing values</t>
  </si>
  <si>
    <t>Missing/invalid information remains blank or is marked for review.</t>
  </si>
  <si>
    <t>Uncertain data preserved for human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</si>
</sst>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i/>
      <sz val="11"/>
      <color rgb="FF117C78"/>
      <name val="Calibri"/>
      <family val="2"/>
    </font>
    <font>
      <b/>
      <sz val="10"/>
      <color rgb="FF16324F"/>
      <name val="Calibri"/>
      <family val="2"/>
    </font>
    <font>
      <b/>
      <sz val="22"/>
      <color rgb="FF117C78"/>
      <name val="Calibri"/>
      <family val="2"/>
    </font>
    <font>
      <b/>
      <sz val="13"/>
      <color rgb="FFFFFFFF"/>
      <name val="Calibri"/>
      <family val="2"/>
    </font>
    <font>
      <b/>
      <sz val="11"/>
      <color rgb="FF16324F"/>
      <name val="Calibri"/>
      <family val="2"/>
    </font>
    <font>
      <sz val="11"/>
      <color rgb="FF253746"/>
      <name val="Calibri"/>
      <family val="2"/>
    </font>
    <font>
      <b/>
      <sz val="11"/>
      <color rgb="FFFFFFFF"/>
      <name val="Calibri"/>
      <family val="2"/>
    </font>
    <font>
      <b/>
      <sz val="11"/>
      <color rgb="FF117C78"/>
      <name val="Calibri"/>
      <family val="2"/>
    </font>
    <font>
      <b/>
      <sz val="12"/>
      <color rgb="FFFFFFFF"/>
      <name val="Calibri"/>
      <family val="2"/>
    </font>
    <font>
      <sz val="11"/>
      <color rgb="FF25374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FFF2D2"/>
      </patternFill>
    </fill>
    <fill>
      <patternFill patternType="solid">
        <fgColor rgb="FFFCE8E6"/>
      </patternFill>
    </fill>
    <fill>
      <patternFill patternType="solid">
        <fgColor rgb="FFE4F3F1"/>
      </patternFill>
    </fill>
    <fill>
      <patternFill patternType="solid">
        <fgColor rgb="FF117C78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E8B04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EE5"/>
      </bottom>
      <diagonal/>
    </border>
    <border>
      <left/>
      <right/>
      <top/>
      <bottom style="medium">
        <color rgb="FF117C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3" borderId="0" xfId="0" applyFont="1" applyFill="1"/>
    <xf numFmtId="0" fontId="8" fillId="2" borderId="0" xfId="0" applyFont="1" applyFill="1" applyAlignment="1">
      <alignment horizontal="center"/>
    </xf>
    <xf numFmtId="0" fontId="6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/>
    </xf>
    <xf numFmtId="165" fontId="7" fillId="8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5" fillId="7" borderId="0" xfId="0" applyFont="1" applyFill="1" applyAlignment="1">
      <alignment vertical="center"/>
    </xf>
    <xf numFmtId="0" fontId="0" fillId="0" borderId="0" xfId="0"/>
    <xf numFmtId="0" fontId="0" fillId="8" borderId="1" xfId="0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7" borderId="0" xfId="0" applyFont="1" applyFill="1"/>
    <xf numFmtId="0" fontId="1" fillId="2" borderId="0" xfId="0" applyFont="1" applyFill="1" applyAlignment="1">
      <alignment horizontal="left" vertical="center"/>
    </xf>
    <xf numFmtId="0" fontId="10" fillId="10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11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8" width="18" customWidth="1"/>
  </cols>
  <sheetData>
    <row r="1" spans="1:8" ht="25.05" customHeight="1" x14ac:dyDescent="0.3">
      <c r="A1" s="33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 s="20"/>
      <c r="B2" s="20"/>
      <c r="C2" s="20"/>
      <c r="D2" s="20"/>
      <c r="E2" s="20"/>
      <c r="F2" s="20"/>
      <c r="G2" s="20"/>
      <c r="H2" s="20"/>
    </row>
    <row r="3" spans="1:8" ht="24" customHeight="1" x14ac:dyDescent="0.3">
      <c r="A3" s="27" t="s">
        <v>1</v>
      </c>
      <c r="B3" s="20"/>
      <c r="C3" s="20"/>
      <c r="D3" s="20"/>
      <c r="E3" s="20"/>
      <c r="F3" s="20"/>
      <c r="G3" s="20"/>
      <c r="H3" s="20"/>
    </row>
    <row r="5" spans="1:8" ht="25.05" customHeight="1" x14ac:dyDescent="0.3">
      <c r="A5" s="30" t="s">
        <v>2</v>
      </c>
      <c r="B5" s="20"/>
      <c r="C5" s="24" t="s">
        <v>3</v>
      </c>
      <c r="D5" s="20"/>
      <c r="E5" s="25" t="s">
        <v>4</v>
      </c>
      <c r="F5" s="20"/>
      <c r="G5" s="31" t="s">
        <v>5</v>
      </c>
      <c r="H5" s="20"/>
    </row>
    <row r="6" spans="1:8" ht="25.05" customHeight="1" x14ac:dyDescent="0.3">
      <c r="A6" s="37">
        <f>COUNTA('Raw Data'!A2:A23)</f>
        <v>22</v>
      </c>
      <c r="B6" s="20"/>
      <c r="C6" s="28">
        <f>COUNTIF('Cleaned Data'!H2:H23,"Missing")</f>
        <v>1</v>
      </c>
      <c r="D6" s="20"/>
      <c r="E6" s="22">
        <f>COUNTIF('Cleaned Data'!H2:H23,"Invalid format")</f>
        <v>1</v>
      </c>
      <c r="F6" s="20"/>
      <c r="G6" s="23">
        <f>COUNTIF('Cleaned Data'!I2:I23,"Needs review")</f>
        <v>1</v>
      </c>
      <c r="H6" s="20"/>
    </row>
    <row r="7" spans="1:8" ht="25.05" customHeight="1" x14ac:dyDescent="0.3">
      <c r="A7" s="20"/>
      <c r="B7" s="20"/>
      <c r="C7" s="20"/>
      <c r="D7" s="20"/>
      <c r="E7" s="20"/>
      <c r="F7" s="20"/>
      <c r="G7" s="20"/>
      <c r="H7" s="20"/>
    </row>
    <row r="9" spans="1:8" ht="17.399999999999999" x14ac:dyDescent="0.3">
      <c r="A9" s="19" t="s">
        <v>6</v>
      </c>
      <c r="B9" s="20"/>
      <c r="C9" s="20"/>
      <c r="D9" s="20"/>
      <c r="E9" s="20"/>
      <c r="F9" s="20"/>
      <c r="G9" s="20"/>
      <c r="H9" s="20"/>
    </row>
    <row r="10" spans="1:8" ht="34.049999999999997" customHeight="1" x14ac:dyDescent="0.3">
      <c r="A10" s="1" t="s">
        <v>7</v>
      </c>
      <c r="B10" s="29" t="s">
        <v>8</v>
      </c>
      <c r="C10" s="20"/>
      <c r="D10" s="20"/>
      <c r="E10" s="20"/>
      <c r="F10" s="20"/>
      <c r="G10" s="20"/>
      <c r="H10" s="20"/>
    </row>
    <row r="11" spans="1:8" ht="34.049999999999997" customHeight="1" x14ac:dyDescent="0.3">
      <c r="A11" s="1" t="s">
        <v>9</v>
      </c>
      <c r="B11" s="29" t="s">
        <v>10</v>
      </c>
      <c r="C11" s="20"/>
      <c r="D11" s="20"/>
      <c r="E11" s="20"/>
      <c r="F11" s="20"/>
      <c r="G11" s="20"/>
      <c r="H11" s="20"/>
    </row>
    <row r="12" spans="1:8" ht="34.049999999999997" customHeight="1" x14ac:dyDescent="0.3">
      <c r="A12" s="1" t="s">
        <v>11</v>
      </c>
      <c r="B12" s="29" t="s">
        <v>12</v>
      </c>
      <c r="C12" s="20"/>
      <c r="D12" s="20"/>
      <c r="E12" s="20"/>
      <c r="F12" s="20"/>
      <c r="G12" s="20"/>
      <c r="H12" s="20"/>
    </row>
    <row r="14" spans="1:8" ht="17.399999999999999" x14ac:dyDescent="0.35">
      <c r="A14" s="32" t="s">
        <v>13</v>
      </c>
      <c r="B14" s="20"/>
      <c r="C14" s="20"/>
      <c r="D14" s="20"/>
      <c r="E14" s="20"/>
      <c r="F14" s="20"/>
      <c r="G14" s="20"/>
      <c r="H14" s="20"/>
    </row>
    <row r="15" spans="1:8" x14ac:dyDescent="0.3">
      <c r="A15" s="2" t="s">
        <v>14</v>
      </c>
      <c r="B15" s="2" t="s">
        <v>15</v>
      </c>
      <c r="C15" s="35" t="s">
        <v>16</v>
      </c>
      <c r="D15" s="35"/>
      <c r="E15" s="35"/>
      <c r="F15" s="35"/>
      <c r="G15" s="35"/>
      <c r="H15" s="35"/>
    </row>
    <row r="16" spans="1:8" ht="30" customHeight="1" x14ac:dyDescent="0.3">
      <c r="A16" s="3" t="s">
        <v>17</v>
      </c>
      <c r="B16" s="4">
        <f>COUNTIF('Cleaned Data'!H2:H23,"Missing")</f>
        <v>1</v>
      </c>
      <c r="C16" s="21" t="s">
        <v>18</v>
      </c>
      <c r="D16" s="21"/>
      <c r="E16" s="21"/>
      <c r="F16" s="21"/>
      <c r="G16" s="21"/>
      <c r="H16" s="21"/>
    </row>
    <row r="17" spans="1:8" ht="30" customHeight="1" x14ac:dyDescent="0.3">
      <c r="A17" s="5" t="s">
        <v>19</v>
      </c>
      <c r="B17" s="6">
        <f>COUNTIF('Cleaned Data'!H2:H23,"Invalid format")</f>
        <v>1</v>
      </c>
      <c r="C17" s="26" t="s">
        <v>20</v>
      </c>
      <c r="D17" s="26"/>
      <c r="E17" s="26"/>
      <c r="F17" s="26"/>
      <c r="G17" s="26"/>
      <c r="H17" s="26"/>
    </row>
    <row r="18" spans="1:8" ht="30" customHeight="1" x14ac:dyDescent="0.3">
      <c r="A18" s="3" t="s">
        <v>21</v>
      </c>
      <c r="B18" s="4">
        <f>COUNTIF('Cleaned Data'!I2:I23,"Needs review")</f>
        <v>1</v>
      </c>
      <c r="C18" s="21" t="s">
        <v>22</v>
      </c>
      <c r="D18" s="21"/>
      <c r="E18" s="21"/>
      <c r="F18" s="21"/>
      <c r="G18" s="21"/>
      <c r="H18" s="21"/>
    </row>
    <row r="19" spans="1:8" ht="30" customHeight="1" x14ac:dyDescent="0.3">
      <c r="A19" s="5" t="s">
        <v>23</v>
      </c>
      <c r="B19" s="6">
        <f>COUNTIF('Cleaned Data'!J2:J23,"Potential duplicate")</f>
        <v>1</v>
      </c>
      <c r="C19" s="26" t="s">
        <v>24</v>
      </c>
      <c r="D19" s="26"/>
      <c r="E19" s="26"/>
      <c r="F19" s="26"/>
      <c r="G19" s="26"/>
      <c r="H19" s="26"/>
    </row>
    <row r="22" spans="1:8" ht="15.6" x14ac:dyDescent="0.3">
      <c r="A22" s="34" t="s">
        <v>25</v>
      </c>
      <c r="B22" s="20"/>
      <c r="C22" s="20"/>
      <c r="D22" s="20"/>
      <c r="E22" s="20"/>
      <c r="F22" s="20"/>
      <c r="G22" s="20"/>
      <c r="H22" s="20"/>
    </row>
    <row r="23" spans="1:8" ht="24" customHeight="1" x14ac:dyDescent="0.3">
      <c r="A23" s="36" t="s">
        <v>26</v>
      </c>
      <c r="B23" s="20"/>
      <c r="C23" s="20"/>
      <c r="D23" s="20"/>
      <c r="E23" s="20"/>
      <c r="F23" s="20"/>
      <c r="G23" s="20"/>
      <c r="H23" s="20"/>
    </row>
    <row r="24" spans="1:8" ht="24" customHeight="1" x14ac:dyDescent="0.3">
      <c r="A24" s="20"/>
      <c r="B24" s="20"/>
      <c r="C24" s="20"/>
      <c r="D24" s="20"/>
      <c r="E24" s="20"/>
      <c r="F24" s="20"/>
      <c r="G24" s="20"/>
      <c r="H24" s="20"/>
    </row>
    <row r="25" spans="1:8" ht="24" customHeight="1" x14ac:dyDescent="0.3">
      <c r="A25" s="20"/>
      <c r="B25" s="20"/>
      <c r="C25" s="20"/>
      <c r="D25" s="20"/>
      <c r="E25" s="20"/>
      <c r="F25" s="20"/>
      <c r="G25" s="20"/>
      <c r="H25" s="20"/>
    </row>
  </sheetData>
  <mergeCells count="22">
    <mergeCell ref="A1:H2"/>
    <mergeCell ref="A22:H22"/>
    <mergeCell ref="C15:H15"/>
    <mergeCell ref="A23:H25"/>
    <mergeCell ref="A6:B7"/>
    <mergeCell ref="B10:H10"/>
    <mergeCell ref="C17:H17"/>
    <mergeCell ref="A3:H3"/>
    <mergeCell ref="C19:H19"/>
    <mergeCell ref="C6:D7"/>
    <mergeCell ref="B12:H12"/>
    <mergeCell ref="A5:B5"/>
    <mergeCell ref="G5:H5"/>
    <mergeCell ref="A14:H14"/>
    <mergeCell ref="C18:H18"/>
    <mergeCell ref="B11:H11"/>
    <mergeCell ref="A9:H9"/>
    <mergeCell ref="C16:H16"/>
    <mergeCell ref="E6:F7"/>
    <mergeCell ref="G6:H7"/>
    <mergeCell ref="C5:D5"/>
    <mergeCell ref="E5:F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showGridLines="0"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34" customWidth="1"/>
    <col min="4" max="4" width="23" customWidth="1"/>
    <col min="5" max="5" width="24" customWidth="1"/>
    <col min="6" max="6" width="16" customWidth="1"/>
    <col min="7" max="7" width="15" customWidth="1"/>
  </cols>
  <sheetData>
    <row r="1" spans="1:7" ht="31.95" customHeight="1" x14ac:dyDescent="0.3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</row>
    <row r="2" spans="1:7" x14ac:dyDescent="0.3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9">
        <v>46030</v>
      </c>
      <c r="G2" s="8" t="s">
        <v>39</v>
      </c>
    </row>
    <row r="3" spans="1:7" x14ac:dyDescent="0.3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1">
        <v>46034</v>
      </c>
      <c r="G3" s="10" t="s">
        <v>45</v>
      </c>
    </row>
    <row r="4" spans="1:7" x14ac:dyDescent="0.3">
      <c r="A4" s="8" t="s">
        <v>46</v>
      </c>
      <c r="B4" s="8" t="s">
        <v>47</v>
      </c>
      <c r="C4" s="8" t="s">
        <v>48</v>
      </c>
      <c r="D4" s="8" t="s">
        <v>49</v>
      </c>
      <c r="E4" s="8" t="s">
        <v>50</v>
      </c>
      <c r="F4" s="9">
        <v>46040</v>
      </c>
      <c r="G4" s="8" t="s">
        <v>51</v>
      </c>
    </row>
    <row r="5" spans="1:7" x14ac:dyDescent="0.3">
      <c r="A5" s="10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1">
        <v>46044</v>
      </c>
      <c r="G5" s="10" t="s">
        <v>57</v>
      </c>
    </row>
    <row r="6" spans="1:7" x14ac:dyDescent="0.3">
      <c r="A6" s="8" t="s">
        <v>58</v>
      </c>
      <c r="B6" s="8" t="s">
        <v>59</v>
      </c>
      <c r="C6" s="8" t="s">
        <v>60</v>
      </c>
      <c r="D6" s="8" t="s">
        <v>61</v>
      </c>
      <c r="E6" s="8" t="s">
        <v>62</v>
      </c>
      <c r="F6" s="9">
        <v>46055</v>
      </c>
      <c r="G6" s="8" t="s">
        <v>39</v>
      </c>
    </row>
    <row r="7" spans="1:7" x14ac:dyDescent="0.3">
      <c r="A7" s="10" t="s">
        <v>63</v>
      </c>
      <c r="B7" s="10" t="s">
        <v>64</v>
      </c>
      <c r="C7" s="12" t="s">
        <v>65</v>
      </c>
      <c r="D7" s="10" t="s">
        <v>66</v>
      </c>
      <c r="E7" s="10" t="s">
        <v>67</v>
      </c>
      <c r="F7" s="11">
        <v>46060</v>
      </c>
      <c r="G7" s="10" t="s">
        <v>39</v>
      </c>
    </row>
    <row r="8" spans="1:7" x14ac:dyDescent="0.3">
      <c r="A8" s="8" t="s">
        <v>68</v>
      </c>
      <c r="B8" s="8" t="s">
        <v>69</v>
      </c>
      <c r="C8" s="8" t="s">
        <v>70</v>
      </c>
      <c r="D8" s="8" t="s">
        <v>71</v>
      </c>
      <c r="E8" s="8" t="s">
        <v>72</v>
      </c>
      <c r="F8" s="9">
        <v>46064</v>
      </c>
      <c r="G8" s="8" t="s">
        <v>51</v>
      </c>
    </row>
    <row r="9" spans="1:7" x14ac:dyDescent="0.3">
      <c r="A9" s="10" t="s">
        <v>73</v>
      </c>
      <c r="B9" s="10" t="s">
        <v>74</v>
      </c>
      <c r="C9" s="10" t="s">
        <v>75</v>
      </c>
      <c r="D9" s="10" t="s">
        <v>76</v>
      </c>
      <c r="E9" s="10" t="s">
        <v>77</v>
      </c>
      <c r="F9" s="11">
        <v>46072</v>
      </c>
      <c r="G9" s="10" t="s">
        <v>57</v>
      </c>
    </row>
    <row r="10" spans="1:7" x14ac:dyDescent="0.3">
      <c r="A10" s="8" t="s">
        <v>78</v>
      </c>
      <c r="B10" s="8" t="s">
        <v>79</v>
      </c>
      <c r="C10" s="8" t="s">
        <v>80</v>
      </c>
      <c r="D10" s="8" t="s">
        <v>81</v>
      </c>
      <c r="E10" s="8" t="s">
        <v>82</v>
      </c>
      <c r="F10" s="9">
        <v>46078</v>
      </c>
      <c r="G10" s="8" t="s">
        <v>45</v>
      </c>
    </row>
    <row r="11" spans="1:7" x14ac:dyDescent="0.3">
      <c r="A11" s="10" t="s">
        <v>83</v>
      </c>
      <c r="B11" s="10" t="s">
        <v>84</v>
      </c>
      <c r="C11" s="12"/>
      <c r="D11" s="10" t="s">
        <v>85</v>
      </c>
      <c r="E11" s="10" t="s">
        <v>86</v>
      </c>
      <c r="F11" s="11">
        <v>46084</v>
      </c>
      <c r="G11" s="10" t="s">
        <v>39</v>
      </c>
    </row>
    <row r="12" spans="1:7" x14ac:dyDescent="0.3">
      <c r="A12" s="8" t="s">
        <v>87</v>
      </c>
      <c r="B12" s="8" t="s">
        <v>88</v>
      </c>
      <c r="C12" s="8" t="s">
        <v>89</v>
      </c>
      <c r="D12" s="8" t="s">
        <v>90</v>
      </c>
      <c r="E12" s="8" t="s">
        <v>91</v>
      </c>
      <c r="F12" s="9">
        <v>46089</v>
      </c>
      <c r="G12" s="8" t="s">
        <v>51</v>
      </c>
    </row>
    <row r="13" spans="1:7" x14ac:dyDescent="0.3">
      <c r="A13" s="10" t="s">
        <v>92</v>
      </c>
      <c r="B13" s="10" t="s">
        <v>93</v>
      </c>
      <c r="C13" s="10" t="s">
        <v>94</v>
      </c>
      <c r="D13" s="10" t="s">
        <v>95</v>
      </c>
      <c r="E13" s="10" t="s">
        <v>96</v>
      </c>
      <c r="F13" s="11">
        <v>46095</v>
      </c>
      <c r="G13" s="10" t="s">
        <v>39</v>
      </c>
    </row>
    <row r="14" spans="1:7" x14ac:dyDescent="0.3">
      <c r="A14" s="8" t="s">
        <v>97</v>
      </c>
      <c r="B14" s="8" t="s">
        <v>98</v>
      </c>
      <c r="C14" s="8" t="s">
        <v>99</v>
      </c>
      <c r="D14" s="8" t="s">
        <v>100</v>
      </c>
      <c r="E14" s="8" t="s">
        <v>101</v>
      </c>
      <c r="F14" s="9">
        <v>46101</v>
      </c>
      <c r="G14" s="8" t="s">
        <v>57</v>
      </c>
    </row>
    <row r="15" spans="1:7" x14ac:dyDescent="0.3">
      <c r="A15" s="10" t="s">
        <v>102</v>
      </c>
      <c r="B15" s="10" t="s">
        <v>103</v>
      </c>
      <c r="C15" s="10" t="s">
        <v>104</v>
      </c>
      <c r="D15" s="10" t="s">
        <v>105</v>
      </c>
      <c r="E15" s="10" t="s">
        <v>106</v>
      </c>
      <c r="F15" s="11">
        <v>46106</v>
      </c>
      <c r="G15" s="10" t="s">
        <v>39</v>
      </c>
    </row>
    <row r="16" spans="1:7" x14ac:dyDescent="0.3">
      <c r="A16" s="8" t="s">
        <v>107</v>
      </c>
      <c r="B16" s="8" t="s">
        <v>108</v>
      </c>
      <c r="C16" s="8" t="s">
        <v>109</v>
      </c>
      <c r="D16" s="8" t="s">
        <v>110</v>
      </c>
      <c r="E16" s="8" t="s">
        <v>111</v>
      </c>
      <c r="F16" s="9">
        <v>46114</v>
      </c>
      <c r="G16" s="8" t="s">
        <v>39</v>
      </c>
    </row>
    <row r="17" spans="1:7" x14ac:dyDescent="0.3">
      <c r="A17" s="10" t="s">
        <v>112</v>
      </c>
      <c r="B17" s="10" t="s">
        <v>113</v>
      </c>
      <c r="C17" s="10" t="s">
        <v>114</v>
      </c>
      <c r="D17" s="10" t="s">
        <v>115</v>
      </c>
      <c r="E17" s="10" t="s">
        <v>38</v>
      </c>
      <c r="F17" s="11">
        <v>46119</v>
      </c>
      <c r="G17" s="10" t="s">
        <v>116</v>
      </c>
    </row>
    <row r="18" spans="1:7" x14ac:dyDescent="0.3">
      <c r="A18" s="8" t="s">
        <v>117</v>
      </c>
      <c r="B18" s="8" t="s">
        <v>118</v>
      </c>
      <c r="C18" s="8" t="s">
        <v>119</v>
      </c>
      <c r="D18" s="8" t="s">
        <v>120</v>
      </c>
      <c r="E18" s="8" t="s">
        <v>62</v>
      </c>
      <c r="F18" s="9">
        <v>46125</v>
      </c>
      <c r="G18" s="8" t="s">
        <v>57</v>
      </c>
    </row>
    <row r="19" spans="1:7" x14ac:dyDescent="0.3">
      <c r="A19" s="10" t="s">
        <v>121</v>
      </c>
      <c r="B19" s="10" t="s">
        <v>122</v>
      </c>
      <c r="C19" s="10" t="s">
        <v>123</v>
      </c>
      <c r="D19" s="10" t="s">
        <v>124</v>
      </c>
      <c r="E19" s="10" t="s">
        <v>125</v>
      </c>
      <c r="F19" s="11">
        <v>46131</v>
      </c>
      <c r="G19" s="10" t="s">
        <v>39</v>
      </c>
    </row>
    <row r="20" spans="1:7" x14ac:dyDescent="0.3">
      <c r="A20" s="8" t="s">
        <v>126</v>
      </c>
      <c r="B20" s="8" t="s">
        <v>127</v>
      </c>
      <c r="C20" s="8" t="s">
        <v>128</v>
      </c>
      <c r="D20" s="8" t="s">
        <v>129</v>
      </c>
      <c r="E20" s="8" t="s">
        <v>130</v>
      </c>
      <c r="F20" s="9">
        <v>46136</v>
      </c>
      <c r="G20" s="8" t="s">
        <v>39</v>
      </c>
    </row>
    <row r="21" spans="1:7" x14ac:dyDescent="0.3">
      <c r="A21" s="10" t="s">
        <v>131</v>
      </c>
      <c r="B21" s="10" t="s">
        <v>132</v>
      </c>
      <c r="C21" s="10" t="s">
        <v>133</v>
      </c>
      <c r="D21" s="10" t="s">
        <v>134</v>
      </c>
      <c r="E21" s="10" t="s">
        <v>67</v>
      </c>
      <c r="F21" s="11">
        <v>46143</v>
      </c>
      <c r="G21" s="10" t="s">
        <v>51</v>
      </c>
    </row>
    <row r="22" spans="1:7" x14ac:dyDescent="0.3">
      <c r="A22" s="8" t="s">
        <v>135</v>
      </c>
      <c r="B22" s="8" t="s">
        <v>53</v>
      </c>
      <c r="C22" s="8" t="s">
        <v>54</v>
      </c>
      <c r="D22" s="8" t="s">
        <v>55</v>
      </c>
      <c r="E22" s="8" t="s">
        <v>56</v>
      </c>
      <c r="F22" s="9">
        <v>46044</v>
      </c>
      <c r="G22" s="8" t="s">
        <v>57</v>
      </c>
    </row>
    <row r="23" spans="1:7" x14ac:dyDescent="0.3">
      <c r="A23" s="10" t="s">
        <v>136</v>
      </c>
      <c r="B23" s="10" t="s">
        <v>137</v>
      </c>
      <c r="C23" s="10" t="s">
        <v>138</v>
      </c>
      <c r="D23" s="12" t="s">
        <v>139</v>
      </c>
      <c r="E23" s="10" t="s">
        <v>140</v>
      </c>
      <c r="F23" s="11">
        <v>46151</v>
      </c>
      <c r="G23" s="10" t="s">
        <v>141</v>
      </c>
    </row>
  </sheetData>
  <autoFilter ref="A1:G23" xr:uid="{00000000-0009-0000-0000-000001000000}"/>
  <dataValidations count="1">
    <dataValidation type="list" allowBlank="1" errorTitle="Invalid status" error="Choose Active, Inactive, or Pending." promptTitle="Status" prompt="Select a status from the list." sqref="G2:G500" xr:uid="{00000000-0002-0000-0100-000000000000}">
      <formula1>"Active,Inactive,Pending"</formula1>
    </dataValidation>
  </dataValidations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34" customWidth="1"/>
    <col min="4" max="4" width="20" customWidth="1"/>
    <col min="5" max="5" width="24" customWidth="1"/>
    <col min="6" max="6" width="16" customWidth="1"/>
    <col min="7" max="7" width="15" customWidth="1"/>
    <col min="8" max="9" width="19" customWidth="1"/>
    <col min="10" max="10" width="22" customWidth="1"/>
  </cols>
  <sheetData>
    <row r="1" spans="1:10" ht="37.950000000000003" customHeight="1" x14ac:dyDescent="0.3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142</v>
      </c>
      <c r="I1" s="13" t="s">
        <v>143</v>
      </c>
      <c r="J1" s="13" t="s">
        <v>144</v>
      </c>
    </row>
    <row r="2" spans="1:10" x14ac:dyDescent="0.3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9">
        <v>46030</v>
      </c>
      <c r="G2" s="8" t="s">
        <v>39</v>
      </c>
      <c r="H2" s="8" t="s">
        <v>145</v>
      </c>
      <c r="I2" s="8" t="s">
        <v>146</v>
      </c>
      <c r="J2" s="8" t="s">
        <v>147</v>
      </c>
    </row>
    <row r="3" spans="1:10" x14ac:dyDescent="0.3">
      <c r="A3" s="14" t="s">
        <v>40</v>
      </c>
      <c r="B3" s="14" t="s">
        <v>148</v>
      </c>
      <c r="C3" s="14" t="s">
        <v>42</v>
      </c>
      <c r="D3" s="14" t="s">
        <v>43</v>
      </c>
      <c r="E3" s="14" t="s">
        <v>44</v>
      </c>
      <c r="F3" s="15">
        <v>46034</v>
      </c>
      <c r="G3" s="14" t="s">
        <v>39</v>
      </c>
      <c r="H3" s="14" t="s">
        <v>145</v>
      </c>
      <c r="I3" s="14" t="s">
        <v>146</v>
      </c>
      <c r="J3" s="14" t="s">
        <v>147</v>
      </c>
    </row>
    <row r="4" spans="1:10" x14ac:dyDescent="0.3">
      <c r="A4" s="8" t="s">
        <v>46</v>
      </c>
      <c r="B4" s="8" t="s">
        <v>47</v>
      </c>
      <c r="C4" s="8" t="s">
        <v>149</v>
      </c>
      <c r="D4" s="8" t="s">
        <v>49</v>
      </c>
      <c r="E4" s="8" t="s">
        <v>150</v>
      </c>
      <c r="F4" s="9">
        <v>46040</v>
      </c>
      <c r="G4" s="8" t="s">
        <v>51</v>
      </c>
      <c r="H4" s="8" t="s">
        <v>145</v>
      </c>
      <c r="I4" s="8" t="s">
        <v>146</v>
      </c>
      <c r="J4" s="8" t="s">
        <v>147</v>
      </c>
    </row>
    <row r="5" spans="1:10" x14ac:dyDescent="0.3">
      <c r="A5" s="14" t="s">
        <v>52</v>
      </c>
      <c r="B5" s="14" t="s">
        <v>53</v>
      </c>
      <c r="C5" s="14" t="s">
        <v>151</v>
      </c>
      <c r="D5" s="14" t="s">
        <v>55</v>
      </c>
      <c r="E5" s="14" t="s">
        <v>56</v>
      </c>
      <c r="F5" s="15">
        <v>46044</v>
      </c>
      <c r="G5" s="14" t="s">
        <v>57</v>
      </c>
      <c r="H5" s="14" t="s">
        <v>145</v>
      </c>
      <c r="I5" s="14" t="s">
        <v>146</v>
      </c>
      <c r="J5" s="14" t="s">
        <v>147</v>
      </c>
    </row>
    <row r="6" spans="1:10" x14ac:dyDescent="0.3">
      <c r="A6" s="8" t="s">
        <v>58</v>
      </c>
      <c r="B6" s="8" t="s">
        <v>59</v>
      </c>
      <c r="C6" s="8" t="s">
        <v>60</v>
      </c>
      <c r="D6" s="8" t="s">
        <v>152</v>
      </c>
      <c r="E6" s="8" t="s">
        <v>62</v>
      </c>
      <c r="F6" s="9">
        <v>46055</v>
      </c>
      <c r="G6" s="8" t="s">
        <v>39</v>
      </c>
      <c r="H6" s="8" t="s">
        <v>145</v>
      </c>
      <c r="I6" s="8" t="s">
        <v>146</v>
      </c>
      <c r="J6" s="8" t="s">
        <v>147</v>
      </c>
    </row>
    <row r="7" spans="1:10" x14ac:dyDescent="0.3">
      <c r="A7" s="14" t="s">
        <v>63</v>
      </c>
      <c r="B7" s="14" t="s">
        <v>153</v>
      </c>
      <c r="C7" s="14" t="s">
        <v>65</v>
      </c>
      <c r="D7" s="14" t="s">
        <v>66</v>
      </c>
      <c r="E7" s="14" t="s">
        <v>67</v>
      </c>
      <c r="F7" s="15">
        <v>46060</v>
      </c>
      <c r="G7" s="14" t="s">
        <v>39</v>
      </c>
      <c r="H7" s="16" t="s">
        <v>154</v>
      </c>
      <c r="I7" s="14" t="s">
        <v>146</v>
      </c>
      <c r="J7" s="14" t="s">
        <v>147</v>
      </c>
    </row>
    <row r="8" spans="1:10" x14ac:dyDescent="0.3">
      <c r="A8" s="8" t="s">
        <v>68</v>
      </c>
      <c r="B8" s="8" t="s">
        <v>69</v>
      </c>
      <c r="C8" s="8" t="s">
        <v>155</v>
      </c>
      <c r="D8" s="8" t="s">
        <v>71</v>
      </c>
      <c r="E8" s="8" t="s">
        <v>156</v>
      </c>
      <c r="F8" s="9">
        <v>46064</v>
      </c>
      <c r="G8" s="8" t="s">
        <v>51</v>
      </c>
      <c r="H8" s="8" t="s">
        <v>145</v>
      </c>
      <c r="I8" s="8" t="s">
        <v>146</v>
      </c>
      <c r="J8" s="8" t="s">
        <v>147</v>
      </c>
    </row>
    <row r="9" spans="1:10" x14ac:dyDescent="0.3">
      <c r="A9" s="14" t="s">
        <v>73</v>
      </c>
      <c r="B9" s="14" t="s">
        <v>74</v>
      </c>
      <c r="C9" s="14" t="s">
        <v>157</v>
      </c>
      <c r="D9" s="14" t="s">
        <v>76</v>
      </c>
      <c r="E9" s="14" t="s">
        <v>77</v>
      </c>
      <c r="F9" s="15">
        <v>46072</v>
      </c>
      <c r="G9" s="14" t="s">
        <v>57</v>
      </c>
      <c r="H9" s="14" t="s">
        <v>145</v>
      </c>
      <c r="I9" s="14" t="s">
        <v>146</v>
      </c>
      <c r="J9" s="14" t="s">
        <v>147</v>
      </c>
    </row>
    <row r="10" spans="1:10" x14ac:dyDescent="0.3">
      <c r="A10" s="8" t="s">
        <v>78</v>
      </c>
      <c r="B10" s="8" t="s">
        <v>79</v>
      </c>
      <c r="C10" s="8" t="s">
        <v>80</v>
      </c>
      <c r="D10" s="8" t="s">
        <v>158</v>
      </c>
      <c r="E10" s="8" t="s">
        <v>82</v>
      </c>
      <c r="F10" s="9">
        <v>46078</v>
      </c>
      <c r="G10" s="8" t="s">
        <v>39</v>
      </c>
      <c r="H10" s="8" t="s">
        <v>145</v>
      </c>
      <c r="I10" s="8" t="s">
        <v>146</v>
      </c>
      <c r="J10" s="8" t="s">
        <v>147</v>
      </c>
    </row>
    <row r="11" spans="1:10" x14ac:dyDescent="0.3">
      <c r="A11" s="14" t="s">
        <v>83</v>
      </c>
      <c r="B11" s="14" t="s">
        <v>159</v>
      </c>
      <c r="C11" s="14"/>
      <c r="D11" s="14" t="s">
        <v>85</v>
      </c>
      <c r="E11" s="14" t="s">
        <v>86</v>
      </c>
      <c r="F11" s="15">
        <v>46084</v>
      </c>
      <c r="G11" s="14" t="s">
        <v>39</v>
      </c>
      <c r="H11" s="16" t="s">
        <v>160</v>
      </c>
      <c r="I11" s="14" t="s">
        <v>146</v>
      </c>
      <c r="J11" s="14" t="s">
        <v>147</v>
      </c>
    </row>
    <row r="12" spans="1:10" x14ac:dyDescent="0.3">
      <c r="A12" s="8" t="s">
        <v>87</v>
      </c>
      <c r="B12" s="8" t="s">
        <v>88</v>
      </c>
      <c r="C12" s="8" t="s">
        <v>89</v>
      </c>
      <c r="D12" s="8" t="s">
        <v>90</v>
      </c>
      <c r="E12" s="8" t="s">
        <v>161</v>
      </c>
      <c r="F12" s="9">
        <v>46089</v>
      </c>
      <c r="G12" s="8" t="s">
        <v>51</v>
      </c>
      <c r="H12" s="8" t="s">
        <v>145</v>
      </c>
      <c r="I12" s="8" t="s">
        <v>146</v>
      </c>
      <c r="J12" s="8" t="s">
        <v>147</v>
      </c>
    </row>
    <row r="13" spans="1:10" x14ac:dyDescent="0.3">
      <c r="A13" s="14" t="s">
        <v>92</v>
      </c>
      <c r="B13" s="14" t="s">
        <v>93</v>
      </c>
      <c r="C13" s="14" t="s">
        <v>162</v>
      </c>
      <c r="D13" s="14" t="s">
        <v>95</v>
      </c>
      <c r="E13" s="14" t="s">
        <v>96</v>
      </c>
      <c r="F13" s="15">
        <v>46095</v>
      </c>
      <c r="G13" s="14" t="s">
        <v>39</v>
      </c>
      <c r="H13" s="14" t="s">
        <v>145</v>
      </c>
      <c r="I13" s="14" t="s">
        <v>146</v>
      </c>
      <c r="J13" s="14" t="s">
        <v>147</v>
      </c>
    </row>
    <row r="14" spans="1:10" x14ac:dyDescent="0.3">
      <c r="A14" s="8" t="s">
        <v>97</v>
      </c>
      <c r="B14" s="8" t="s">
        <v>98</v>
      </c>
      <c r="C14" s="8" t="s">
        <v>163</v>
      </c>
      <c r="D14" s="8" t="s">
        <v>100</v>
      </c>
      <c r="E14" s="8" t="s">
        <v>101</v>
      </c>
      <c r="F14" s="9">
        <v>46101</v>
      </c>
      <c r="G14" s="8" t="s">
        <v>57</v>
      </c>
      <c r="H14" s="8" t="s">
        <v>145</v>
      </c>
      <c r="I14" s="8" t="s">
        <v>146</v>
      </c>
      <c r="J14" s="8" t="s">
        <v>147</v>
      </c>
    </row>
    <row r="15" spans="1:10" x14ac:dyDescent="0.3">
      <c r="A15" s="14" t="s">
        <v>102</v>
      </c>
      <c r="B15" s="14" t="s">
        <v>103</v>
      </c>
      <c r="C15" s="14" t="s">
        <v>104</v>
      </c>
      <c r="D15" s="14" t="s">
        <v>105</v>
      </c>
      <c r="E15" s="14" t="s">
        <v>164</v>
      </c>
      <c r="F15" s="15">
        <v>46106</v>
      </c>
      <c r="G15" s="14" t="s">
        <v>39</v>
      </c>
      <c r="H15" s="14" t="s">
        <v>145</v>
      </c>
      <c r="I15" s="14" t="s">
        <v>146</v>
      </c>
      <c r="J15" s="14" t="s">
        <v>147</v>
      </c>
    </row>
    <row r="16" spans="1:10" x14ac:dyDescent="0.3">
      <c r="A16" s="8" t="s">
        <v>107</v>
      </c>
      <c r="B16" s="8" t="s">
        <v>165</v>
      </c>
      <c r="C16" s="8" t="s">
        <v>109</v>
      </c>
      <c r="D16" s="8" t="s">
        <v>110</v>
      </c>
      <c r="E16" s="8" t="s">
        <v>111</v>
      </c>
      <c r="F16" s="9">
        <v>46114</v>
      </c>
      <c r="G16" s="8" t="s">
        <v>39</v>
      </c>
      <c r="H16" s="8" t="s">
        <v>145</v>
      </c>
      <c r="I16" s="8" t="s">
        <v>146</v>
      </c>
      <c r="J16" s="8" t="s">
        <v>147</v>
      </c>
    </row>
    <row r="17" spans="1:10" x14ac:dyDescent="0.3">
      <c r="A17" s="14" t="s">
        <v>112</v>
      </c>
      <c r="B17" s="14" t="s">
        <v>113</v>
      </c>
      <c r="C17" s="14" t="s">
        <v>114</v>
      </c>
      <c r="D17" s="14" t="s">
        <v>115</v>
      </c>
      <c r="E17" s="14" t="s">
        <v>38</v>
      </c>
      <c r="F17" s="15">
        <v>46119</v>
      </c>
      <c r="G17" s="14" t="s">
        <v>51</v>
      </c>
      <c r="H17" s="14" t="s">
        <v>145</v>
      </c>
      <c r="I17" s="14" t="s">
        <v>146</v>
      </c>
      <c r="J17" s="14" t="s">
        <v>147</v>
      </c>
    </row>
    <row r="18" spans="1:10" x14ac:dyDescent="0.3">
      <c r="A18" s="8" t="s">
        <v>117</v>
      </c>
      <c r="B18" s="8" t="s">
        <v>118</v>
      </c>
      <c r="C18" s="8" t="s">
        <v>119</v>
      </c>
      <c r="D18" s="8" t="s">
        <v>166</v>
      </c>
      <c r="E18" s="8" t="s">
        <v>62</v>
      </c>
      <c r="F18" s="9">
        <v>46125</v>
      </c>
      <c r="G18" s="8" t="s">
        <v>57</v>
      </c>
      <c r="H18" s="8" t="s">
        <v>145</v>
      </c>
      <c r="I18" s="8" t="s">
        <v>146</v>
      </c>
      <c r="J18" s="8" t="s">
        <v>147</v>
      </c>
    </row>
    <row r="19" spans="1:10" x14ac:dyDescent="0.3">
      <c r="A19" s="14" t="s">
        <v>121</v>
      </c>
      <c r="B19" s="14" t="s">
        <v>122</v>
      </c>
      <c r="C19" s="14" t="s">
        <v>123</v>
      </c>
      <c r="D19" s="14" t="s">
        <v>124</v>
      </c>
      <c r="E19" s="14" t="s">
        <v>56</v>
      </c>
      <c r="F19" s="15">
        <v>46131</v>
      </c>
      <c r="G19" s="14" t="s">
        <v>39</v>
      </c>
      <c r="H19" s="14" t="s">
        <v>145</v>
      </c>
      <c r="I19" s="14" t="s">
        <v>146</v>
      </c>
      <c r="J19" s="14" t="s">
        <v>147</v>
      </c>
    </row>
    <row r="20" spans="1:10" x14ac:dyDescent="0.3">
      <c r="A20" s="8" t="s">
        <v>126</v>
      </c>
      <c r="B20" s="8" t="s">
        <v>127</v>
      </c>
      <c r="C20" s="8" t="s">
        <v>128</v>
      </c>
      <c r="D20" s="8" t="s">
        <v>129</v>
      </c>
      <c r="E20" s="8" t="s">
        <v>150</v>
      </c>
      <c r="F20" s="9">
        <v>46136</v>
      </c>
      <c r="G20" s="8" t="s">
        <v>39</v>
      </c>
      <c r="H20" s="8" t="s">
        <v>145</v>
      </c>
      <c r="I20" s="8" t="s">
        <v>146</v>
      </c>
      <c r="J20" s="8" t="s">
        <v>147</v>
      </c>
    </row>
    <row r="21" spans="1:10" x14ac:dyDescent="0.3">
      <c r="A21" s="14" t="s">
        <v>131</v>
      </c>
      <c r="B21" s="14" t="s">
        <v>132</v>
      </c>
      <c r="C21" s="14" t="s">
        <v>133</v>
      </c>
      <c r="D21" s="14" t="s">
        <v>134</v>
      </c>
      <c r="E21" s="14" t="s">
        <v>67</v>
      </c>
      <c r="F21" s="15">
        <v>46143</v>
      </c>
      <c r="G21" s="14" t="s">
        <v>51</v>
      </c>
      <c r="H21" s="14" t="s">
        <v>145</v>
      </c>
      <c r="I21" s="14" t="s">
        <v>146</v>
      </c>
      <c r="J21" s="14" t="s">
        <v>147</v>
      </c>
    </row>
    <row r="22" spans="1:10" x14ac:dyDescent="0.3">
      <c r="A22" s="8" t="s">
        <v>135</v>
      </c>
      <c r="B22" s="8" t="s">
        <v>53</v>
      </c>
      <c r="C22" s="8" t="s">
        <v>151</v>
      </c>
      <c r="D22" s="8" t="s">
        <v>55</v>
      </c>
      <c r="E22" s="8" t="s">
        <v>56</v>
      </c>
      <c r="F22" s="9">
        <v>46044</v>
      </c>
      <c r="G22" s="8" t="s">
        <v>57</v>
      </c>
      <c r="H22" s="8" t="s">
        <v>145</v>
      </c>
      <c r="I22" s="8" t="s">
        <v>146</v>
      </c>
      <c r="J22" s="16" t="s">
        <v>23</v>
      </c>
    </row>
    <row r="23" spans="1:10" x14ac:dyDescent="0.3">
      <c r="A23" s="14" t="s">
        <v>136</v>
      </c>
      <c r="B23" s="14" t="s">
        <v>167</v>
      </c>
      <c r="C23" s="14" t="s">
        <v>168</v>
      </c>
      <c r="D23" s="14" t="s">
        <v>169</v>
      </c>
      <c r="E23" s="14" t="s">
        <v>38</v>
      </c>
      <c r="F23" s="15">
        <v>46151</v>
      </c>
      <c r="G23" s="14" t="s">
        <v>39</v>
      </c>
      <c r="H23" s="14" t="s">
        <v>145</v>
      </c>
      <c r="I23" s="16" t="s">
        <v>169</v>
      </c>
      <c r="J23" s="14" t="s">
        <v>147</v>
      </c>
    </row>
  </sheetData>
  <autoFilter ref="A1:J23" xr:uid="{00000000-0009-0000-0000-000002000000}"/>
  <pageMargins left="0.25" right="0.25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"/>
  <sheetViews>
    <sheetView showGridLines="0"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36" customWidth="1"/>
    <col min="4" max="4" width="58" customWidth="1"/>
    <col min="5" max="5" width="34" customWidth="1"/>
  </cols>
  <sheetData>
    <row r="1" spans="1:5" ht="31.95" customHeight="1" x14ac:dyDescent="0.3">
      <c r="A1" s="7" t="s">
        <v>170</v>
      </c>
      <c r="B1" s="7" t="s">
        <v>171</v>
      </c>
      <c r="C1" s="7" t="s">
        <v>172</v>
      </c>
      <c r="D1" s="7" t="s">
        <v>173</v>
      </c>
      <c r="E1" s="7" t="s">
        <v>174</v>
      </c>
    </row>
    <row r="2" spans="1:5" ht="54" customHeight="1" x14ac:dyDescent="0.3">
      <c r="A2" s="17">
        <v>1</v>
      </c>
      <c r="B2" s="17" t="s">
        <v>28</v>
      </c>
      <c r="C2" s="17" t="s">
        <v>175</v>
      </c>
      <c r="D2" s="17" t="s">
        <v>176</v>
      </c>
      <c r="E2" s="17" t="s">
        <v>177</v>
      </c>
    </row>
    <row r="3" spans="1:5" ht="54" customHeight="1" x14ac:dyDescent="0.3">
      <c r="A3" s="18">
        <v>2</v>
      </c>
      <c r="B3" s="18" t="s">
        <v>29</v>
      </c>
      <c r="C3" s="18" t="s">
        <v>178</v>
      </c>
      <c r="D3" s="18" t="s">
        <v>179</v>
      </c>
      <c r="E3" s="18" t="s">
        <v>180</v>
      </c>
    </row>
    <row r="4" spans="1:5" ht="54" customHeight="1" x14ac:dyDescent="0.3">
      <c r="A4" s="17">
        <v>3</v>
      </c>
      <c r="B4" s="17" t="s">
        <v>30</v>
      </c>
      <c r="C4" s="17" t="s">
        <v>181</v>
      </c>
      <c r="D4" s="17" t="s">
        <v>182</v>
      </c>
      <c r="E4" s="17" t="s">
        <v>183</v>
      </c>
    </row>
    <row r="5" spans="1:5" ht="54" customHeight="1" x14ac:dyDescent="0.3">
      <c r="A5" s="18">
        <v>4</v>
      </c>
      <c r="B5" s="18" t="s">
        <v>31</v>
      </c>
      <c r="C5" s="18" t="s">
        <v>175</v>
      </c>
      <c r="D5" s="18" t="s">
        <v>184</v>
      </c>
      <c r="E5" s="18" t="s">
        <v>185</v>
      </c>
    </row>
    <row r="6" spans="1:5" ht="54" customHeight="1" x14ac:dyDescent="0.3">
      <c r="A6" s="17">
        <v>5</v>
      </c>
      <c r="B6" s="17" t="s">
        <v>33</v>
      </c>
      <c r="C6" s="17" t="s">
        <v>186</v>
      </c>
      <c r="D6" s="17" t="s">
        <v>187</v>
      </c>
      <c r="E6" s="17" t="s">
        <v>188</v>
      </c>
    </row>
    <row r="7" spans="1:5" ht="54" customHeight="1" x14ac:dyDescent="0.3">
      <c r="A7" s="18">
        <v>6</v>
      </c>
      <c r="B7" s="18" t="s">
        <v>189</v>
      </c>
      <c r="C7" s="18" t="s">
        <v>190</v>
      </c>
      <c r="D7" s="18" t="s">
        <v>191</v>
      </c>
      <c r="E7" s="18" t="s">
        <v>192</v>
      </c>
    </row>
    <row r="8" spans="1:5" ht="54" customHeight="1" x14ac:dyDescent="0.3">
      <c r="A8" s="17">
        <v>7</v>
      </c>
      <c r="B8" s="17" t="s">
        <v>193</v>
      </c>
      <c r="C8" s="17" t="s">
        <v>194</v>
      </c>
      <c r="D8" s="17" t="s">
        <v>195</v>
      </c>
      <c r="E8" s="17" t="s">
        <v>196</v>
      </c>
    </row>
    <row r="9" spans="1:5" ht="54" customHeight="1" x14ac:dyDescent="0.3">
      <c r="A9" s="18">
        <v>8</v>
      </c>
      <c r="B9" s="18" t="s">
        <v>197</v>
      </c>
      <c r="C9" s="18" t="s">
        <v>198</v>
      </c>
      <c r="D9" s="18" t="s">
        <v>199</v>
      </c>
      <c r="E9" s="18" t="s">
        <v>200</v>
      </c>
    </row>
  </sheetData>
  <autoFilter ref="A1:E9" xr:uid="{00000000-0009-0000-0000-000003000000}"/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Overview</vt:lpstr>
      <vt:lpstr>Raw Data</vt:lpstr>
      <vt:lpstr>Cleaned Data</vt:lpstr>
      <vt:lpstr>Cleaning Log</vt:lpstr>
      <vt:lpstr>Overview!Print_Area</vt:lpstr>
      <vt:lpstr>'Cleaned Data'!Print_Titles</vt:lpstr>
      <vt:lpstr>'Cleaning Log'!Print_Titles</vt:lpstr>
      <vt:lpstr>'Raw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Cleaning &amp; Standardization — Portfolio Demonstration</dc:title>
  <dc:subject>Synthetic dataset with cleaning, validation, and quality checks</dc:subject>
  <dc:creator>Rohan Sandesh — Portfolio Demonstration</dc:creator>
  <dc:description>Fictional records only; validation flags require manual review.</dc:description>
  <cp:lastModifiedBy>Rohan Sandesh</cp:lastModifiedBy>
  <dcterms:created xsi:type="dcterms:W3CDTF">2026-10-12T08:53:55Z</dcterms:created>
  <dcterms:modified xsi:type="dcterms:W3CDTF">2026-10-12T08:55:44Z</dcterms:modified>
</cp:coreProperties>
</file>